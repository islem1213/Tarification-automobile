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Cabinet_LH_ActuarialAtRisk\ESSAI\Etudiants\pricing\"/>
    </mc:Choice>
  </mc:AlternateContent>
  <xr:revisionPtr revIDLastSave="0" documentId="8_{49444029-4405-4B35-AC0F-5ECBEF779D02}" xr6:coauthVersionLast="47" xr6:coauthVersionMax="47" xr10:uidLastSave="{00000000-0000-0000-0000-000000000000}"/>
  <bookViews>
    <workbookView xWindow="-110" yWindow="-110" windowWidth="19420" windowHeight="10300" firstSheet="1" activeTab="3" xr2:uid="{0AE9AD52-2E82-4873-A2D7-17FDA39EDBB9}"/>
  </bookViews>
  <sheets>
    <sheet name="Tarification" sheetId="1" r:id="rId1"/>
    <sheet name="Rappel_lois" sheetId="2" r:id="rId2"/>
    <sheet name="Seuil_Grave" sheetId="5" r:id="rId3"/>
    <sheet name="Modèle_frequece-coût" sheetId="4" r:id="rId4"/>
    <sheet name="Exemple_MFC" sheetId="6" r:id="rId5"/>
    <sheet name="Exemple_GLM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6" l="1"/>
  <c r="G5" i="6"/>
  <c r="H5" i="6"/>
  <c r="H4" i="6"/>
  <c r="G4" i="6"/>
  <c r="C28" i="6"/>
  <c r="E19" i="6"/>
  <c r="D20" i="6"/>
  <c r="D18" i="6"/>
  <c r="D10" i="6"/>
  <c r="D8" i="6"/>
  <c r="E9" i="6" s="1"/>
</calcChain>
</file>

<file path=xl/sharedStrings.xml><?xml version="1.0" encoding="utf-8"?>
<sst xmlns="http://schemas.openxmlformats.org/spreadsheetml/2006/main" count="163" uniqueCount="130">
  <si>
    <t>Prime Pure</t>
  </si>
  <si>
    <t>+</t>
  </si>
  <si>
    <t>Prime commerciale</t>
  </si>
  <si>
    <t>→</t>
  </si>
  <si>
    <t>frais de  gestion du  dossier</t>
  </si>
  <si>
    <t>Taxes</t>
  </si>
  <si>
    <t>Marge  Bénéficiaire</t>
  </si>
  <si>
    <t>Espérance des  pertes</t>
  </si>
  <si>
    <t>Prime Inventaire</t>
  </si>
  <si>
    <t>↓</t>
  </si>
  <si>
    <t>La prime se compose de trois parties :</t>
  </si>
  <si>
    <t>Critères de tarification :</t>
  </si>
  <si>
    <t>Paramètres techniques (Garanties / Usages / sinistralité…).</t>
  </si>
  <si>
    <t xml:space="preserve">Paramètres commerciaux </t>
  </si>
  <si>
    <t>Garanties</t>
  </si>
  <si>
    <t>Usages</t>
  </si>
  <si>
    <t>Sinistralité</t>
  </si>
  <si>
    <t>Etat objet</t>
  </si>
  <si>
    <t>Monopole</t>
  </si>
  <si>
    <t>Prime Moyenne</t>
  </si>
  <si>
    <t>Comportement du Marché</t>
  </si>
  <si>
    <t>Pollution</t>
  </si>
  <si>
    <t>Contractuelle</t>
  </si>
  <si>
    <t>Obligatoire</t>
  </si>
  <si>
    <t>Contraintes de tarification :</t>
  </si>
  <si>
    <t xml:space="preserve">Contrainte de suffisance </t>
  </si>
  <si>
    <t xml:space="preserve">Contrainte de l’asymétrie d’information </t>
  </si>
  <si>
    <t xml:space="preserve">Risque de ruine </t>
  </si>
  <si>
    <t xml:space="preserve">Contraintes extérieures </t>
  </si>
  <si>
    <t>un historique de données statistiques suffisamment long et précis  pour fonder les prévisions</t>
  </si>
  <si>
    <t>se concentrer sur les cibles profitables en proposant une segmentation efficace</t>
  </si>
  <si>
    <t>limiter le risque de ruine en prévoyant une marge de sécurité dans le  tarif</t>
  </si>
  <si>
    <t>rémunérer les actionnaires pour les fonds propres  immobilisés et respecter les contraintes commerciales posées par la concurrence</t>
  </si>
  <si>
    <t>Les étapes d’une tarification</t>
  </si>
  <si>
    <t xml:space="preserve">la constitution de la base de données </t>
  </si>
  <si>
    <t>la distinction des sinistres attritionnels, graves</t>
  </si>
  <si>
    <t xml:space="preserve">le choix des variables tarifaires </t>
  </si>
  <si>
    <t>la modélisation de l’effet des caractéristiques des individus (représentées par  les modalités des variables tarifaires) sur les variables à expliquer (la  fréquence et le coût) dans le cadre d’un modèle explicatif de la « charge  espérée »;</t>
  </si>
  <si>
    <t>Calcul de la prime pure individuelle</t>
  </si>
  <si>
    <t>le passage du tarif pur au tarif technique puis commercial.</t>
  </si>
  <si>
    <t>Méthodes de tarification en assurance Non-vie</t>
  </si>
  <si>
    <t xml:space="preserve">la tarification a priori </t>
  </si>
  <si>
    <t>la tarification  a posteriori.</t>
  </si>
  <si>
    <t>La prime est déterminée avant que le sinistre ne se produise, à partir des caractéristiques connues de l'assuré ou du contrat.
On utilise des variables explicatives comme :
âge ;
zone géographique ;
type de véhicule ;
puissance du véhicule ;
usage du véhicule ;
ancienneté du permis ;
etc</t>
  </si>
  <si>
    <t>on tient compte de l'expérience passée de l'assuré, notamment de ses sinistres, pour modifier la prime future.
C'est le principe du bonus-malus en assurance automobile.</t>
  </si>
  <si>
    <t>Montant de sinistres (Variables Continues)</t>
  </si>
  <si>
    <t>Nombres de sinistres (Variable discret)</t>
  </si>
  <si>
    <t>GAMMA</t>
  </si>
  <si>
    <t>Exponentielle</t>
  </si>
  <si>
    <t>Log normal</t>
  </si>
  <si>
    <t>Binomiale Négatif</t>
  </si>
  <si>
    <t>Poisson</t>
  </si>
  <si>
    <t>Binomiale</t>
  </si>
  <si>
    <t xml:space="preserve">Lois les plus utilisés </t>
  </si>
  <si>
    <t>Coût total</t>
  </si>
  <si>
    <t>=</t>
  </si>
  <si>
    <t>Nombre de sinistres</t>
  </si>
  <si>
    <t>*</t>
  </si>
  <si>
    <t>X</t>
  </si>
  <si>
    <t>Coût moyen d’un sinistre</t>
  </si>
  <si>
    <t xml:space="preserve">Modèle fréquence-coût </t>
  </si>
  <si>
    <t>E(N)</t>
  </si>
  <si>
    <t>E(X)</t>
  </si>
  <si>
    <t>Prime Pure</t>
  </si>
  <si>
    <t>N : nombre de sinistres → la fréquence.</t>
  </si>
  <si>
    <t>IG : indique s’il y a un sinistre grave (0 = non, 1 = oui).</t>
  </si>
  <si>
    <t>G : coût du sinistre grave</t>
  </si>
  <si>
    <t>Ci : coût de chaque sinistre → le coût moyen. (sévérité/coût)</t>
  </si>
  <si>
    <t>Année</t>
  </si>
  <si>
    <t>Véhicules</t>
  </si>
  <si>
    <t>Nombre de sinistres</t>
  </si>
  <si>
    <t>Coût total des sinistres</t>
  </si>
  <si>
    <t>Modéliser la fréquence</t>
  </si>
  <si>
    <t>Nombre de sinistres​</t>
  </si>
  <si>
    <t>Nombre de véhicule</t>
  </si>
  <si>
    <t>--&gt;</t>
  </si>
  <si>
    <r>
      <t>8,9 sinistres pour 100 véhicules par an</t>
    </r>
    <r>
      <rPr>
        <sz val="11"/>
        <color theme="1"/>
        <rFont val="Times New Roman"/>
        <family val="1"/>
      </rPr>
      <t>.</t>
    </r>
  </si>
  <si>
    <t>Conclusion:</t>
  </si>
  <si>
    <t>N suit la loi de poisson de paramètre Lamda estimé = 8,9%</t>
  </si>
  <si>
    <t>Modéliser la sévérité</t>
  </si>
  <si>
    <t>X_extimé</t>
  </si>
  <si>
    <t>Lamda_estimé</t>
  </si>
  <si>
    <t>= ---------------------------</t>
  </si>
  <si>
    <t>= -----------------------</t>
  </si>
  <si>
    <t>Coût Total</t>
  </si>
  <si>
    <t>Nombre de sinistre</t>
  </si>
  <si>
    <t>E(X) est égal à 2174</t>
  </si>
  <si>
    <t>Prime pure individuelle</t>
  </si>
  <si>
    <t>mu</t>
  </si>
  <si>
    <t>sigma</t>
  </si>
  <si>
    <t>N</t>
  </si>
  <si>
    <t>Prime pure prtf</t>
  </si>
  <si>
    <t>Assuré</t>
  </si>
  <si>
    <t>Âge</t>
  </si>
  <si>
    <t>Puissance</t>
  </si>
  <si>
    <t>Zone</t>
  </si>
  <si>
    <t>Exposition</t>
  </si>
  <si>
    <t>Nombre sinistres</t>
  </si>
  <si>
    <t>6 CV</t>
  </si>
  <si>
    <t>Urbaine</t>
  </si>
  <si>
    <t>5 CV</t>
  </si>
  <si>
    <t>Rurale</t>
  </si>
  <si>
    <t>7 CV</t>
  </si>
  <si>
    <t>4 CV</t>
  </si>
  <si>
    <t>8 CV</t>
  </si>
  <si>
    <t xml:space="preserve">Variable à expliquer : </t>
  </si>
  <si>
    <t>Ni​=nombre de sinistres de l’assure i</t>
  </si>
  <si>
    <t>On suppose :</t>
  </si>
  <si>
    <t>Fonction de lien</t>
  </si>
  <si>
    <r>
      <t>L'</t>
    </r>
    <r>
      <rPr>
        <b/>
        <sz val="11"/>
        <color theme="1"/>
        <rFont val="Times New Roman"/>
        <family val="1"/>
      </rPr>
      <t>exposition</t>
    </r>
    <r>
      <rPr>
        <sz val="11"/>
        <color theme="1"/>
        <rFont val="Times New Roman"/>
        <family val="1"/>
      </rPr>
      <t xml:space="preserve"> mesure la durée pendant laquelle le contrat est effectivement assuré pendant la période d'observation</t>
    </r>
  </si>
  <si>
    <r>
      <t xml:space="preserve">Pour un GLM Poisson, on utilise le </t>
    </r>
    <r>
      <rPr>
        <b/>
        <sz val="11"/>
        <color theme="1"/>
        <rFont val="Times New Roman"/>
        <family val="1"/>
      </rPr>
      <t>log</t>
    </r>
  </si>
  <si>
    <t>Ni∼Poisson(lamda-i)</t>
  </si>
  <si>
    <t>WHY??</t>
  </si>
  <si>
    <t>L'exposition n'est pas une variable explicative comme l'âge ou la puissance.</t>
  </si>
  <si>
    <t>Supposons que le GLM donne</t>
  </si>
  <si>
    <t>Fréquence des sinistres</t>
  </si>
  <si>
    <t>coût des sinistres</t>
  </si>
  <si>
    <t>Xi​∼Gamma</t>
  </si>
  <si>
    <t>Tarifer chaque assuré en fonction de ses caractéristiques.</t>
  </si>
  <si>
    <r>
      <t xml:space="preserve">comme les contrats n'ont pas tous la même durée d'exposition, on ajoute un </t>
    </r>
    <r>
      <rPr>
        <b/>
        <sz val="11"/>
        <color theme="1"/>
        <rFont val="Times New Roman"/>
        <family val="1"/>
      </rPr>
      <t>offset</t>
    </r>
    <r>
      <rPr>
        <sz val="11"/>
        <color theme="1"/>
        <rFont val="Times New Roman"/>
        <family val="1"/>
      </rPr>
      <t xml:space="preserve"> :</t>
    </r>
  </si>
  <si>
    <t>Attritionnel</t>
  </si>
  <si>
    <t>Grave </t>
  </si>
  <si>
    <t>≤</t>
  </si>
  <si>
    <t>&gt;</t>
  </si>
  <si>
    <t>S</t>
  </si>
  <si>
    <t xml:space="preserve">Méthode déterministe: Méthode par seuil fixe  </t>
  </si>
  <si>
    <t>Méthode statistique : séparation par quantile / distribution</t>
  </si>
  <si>
    <r>
      <t xml:space="preserve">les sinistres graves correspondent à la </t>
    </r>
    <r>
      <rPr>
        <b/>
        <sz val="11"/>
        <color theme="1"/>
        <rFont val="Times New Roman"/>
        <family val="1"/>
      </rPr>
      <t>queue droite</t>
    </r>
    <r>
      <rPr>
        <sz val="11"/>
        <color theme="1"/>
        <rFont val="Times New Roman"/>
        <family val="1"/>
      </rPr>
      <t xml:space="preserve"> de la distribution</t>
    </r>
  </si>
  <si>
    <r>
      <t xml:space="preserve">La </t>
    </r>
    <r>
      <rPr>
        <b/>
        <sz val="11"/>
        <color theme="1"/>
        <rFont val="Times New Roman"/>
        <family val="1"/>
      </rPr>
      <t>théorie des valeurs extrêmes</t>
    </r>
    <r>
      <rPr>
        <sz val="11"/>
        <color theme="1"/>
        <rFont val="Times New Roman"/>
        <family val="1"/>
      </rPr>
      <t xml:space="preserve"> montre que, pour un seuil suffisamment élevé, les excédents peuvent être approximés par une Generalized Pareto Distribution (GPD)</t>
    </r>
  </si>
  <si>
    <r>
      <t xml:space="preserve">La méthode </t>
    </r>
    <r>
      <rPr>
        <b/>
        <sz val="11"/>
        <color theme="1"/>
        <rFont val="Times New Roman"/>
        <family val="1"/>
      </rPr>
      <t xml:space="preserve">POT (Peaks Over Threshold) </t>
    </r>
    <r>
      <rPr>
        <sz val="11"/>
        <color theme="1"/>
        <rFont val="Times New Roman"/>
        <family val="1"/>
      </rPr>
      <t>est particulièrement adaptée pour séparer et modéliser les sinistres graves, car elle se concentre directement sur la queue de la distribution.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</si>
</sst>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_-* #,##0_-;\-* #,##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6"/>
      <name val="Times New Roman"/>
      <family val="1"/>
    </font>
    <font>
      <b/>
      <sz val="16"/>
      <color rgb="FF000000"/>
      <name val="Times New Roman"/>
      <family val="1"/>
    </font>
    <font>
      <sz val="9"/>
      <name val="Times New Roman"/>
      <family val="1"/>
    </font>
    <font>
      <b/>
      <sz val="11"/>
      <color rgb="FF000000"/>
      <name val="Times New Roman"/>
      <family val="1"/>
    </font>
    <font>
      <sz val="9"/>
      <color rgb="FF000000"/>
      <name val="Times New Roman"/>
      <family val="1"/>
    </font>
    <font>
      <b/>
      <sz val="16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/>
      <name val="Aptos Narrow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4"/>
      <color rgb="FF000000"/>
      <name val="Times New Roman"/>
      <family val="1"/>
    </font>
    <font>
      <b/>
      <u/>
      <sz val="14"/>
      <color theme="1"/>
      <name val="Times New Roman"/>
      <family val="1"/>
    </font>
    <font>
      <b/>
      <u/>
      <sz val="13"/>
      <color rgb="FF001F5F"/>
      <name val="Times New Roman"/>
      <family val="1"/>
    </font>
    <font>
      <b/>
      <sz val="8"/>
      <color theme="1"/>
      <name val="Segoe UI"/>
      <family val="2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hair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 style="medium">
        <color rgb="FF00B050"/>
      </right>
      <top style="medium">
        <color rgb="FF00B050"/>
      </top>
      <bottom style="hair">
        <color rgb="FF00B050"/>
      </bottom>
      <diagonal/>
    </border>
    <border>
      <left style="medium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 style="medium">
        <color rgb="FF00B050"/>
      </right>
      <top style="hair">
        <color rgb="FF00B050"/>
      </top>
      <bottom style="hair">
        <color rgb="FF00B050"/>
      </bottom>
      <diagonal/>
    </border>
    <border>
      <left style="medium">
        <color rgb="FF00B050"/>
      </left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 style="hair">
        <color rgb="FF00B050"/>
      </left>
      <right style="medium">
        <color rgb="FF00B050"/>
      </right>
      <top style="hair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 style="dashed">
        <color rgb="FF00B050"/>
      </right>
      <top style="medium">
        <color rgb="FF00B050"/>
      </top>
      <bottom style="dashed">
        <color rgb="FF00B050"/>
      </bottom>
      <diagonal/>
    </border>
    <border>
      <left style="dashed">
        <color rgb="FF00B050"/>
      </left>
      <right style="dashed">
        <color rgb="FF00B050"/>
      </right>
      <top style="medium">
        <color rgb="FF00B050"/>
      </top>
      <bottom style="dashed">
        <color rgb="FF00B050"/>
      </bottom>
      <diagonal/>
    </border>
    <border>
      <left style="dashed">
        <color rgb="FF00B050"/>
      </left>
      <right style="medium">
        <color rgb="FF00B050"/>
      </right>
      <top style="medium">
        <color rgb="FF00B050"/>
      </top>
      <bottom style="dashed">
        <color rgb="FF00B050"/>
      </bottom>
      <diagonal/>
    </border>
    <border>
      <left style="medium">
        <color rgb="FF00B050"/>
      </left>
      <right style="dashed">
        <color rgb="FF00B050"/>
      </right>
      <top style="dashed">
        <color rgb="FF00B050"/>
      </top>
      <bottom style="medium">
        <color rgb="FF00B050"/>
      </bottom>
      <diagonal/>
    </border>
    <border>
      <left style="dashed">
        <color rgb="FF00B050"/>
      </left>
      <right style="dashed">
        <color rgb="FF00B050"/>
      </right>
      <top style="dashed">
        <color rgb="FF00B050"/>
      </top>
      <bottom style="medium">
        <color rgb="FF00B050"/>
      </bottom>
      <diagonal/>
    </border>
    <border>
      <left style="dashed">
        <color rgb="FF00B050"/>
      </left>
      <right style="medium">
        <color rgb="FF00B050"/>
      </right>
      <top style="dashed">
        <color rgb="FF00B050"/>
      </top>
      <bottom style="medium">
        <color rgb="FF00B05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5" fillId="2" borderId="0" xfId="0" applyFont="1" applyFill="1"/>
    <xf numFmtId="0" fontId="6" fillId="2" borderId="0" xfId="0" quotePrefix="1" applyFont="1" applyFill="1"/>
    <xf numFmtId="0" fontId="5" fillId="2" borderId="0" xfId="0" quotePrefix="1" applyFont="1" applyFill="1"/>
    <xf numFmtId="0" fontId="5" fillId="7" borderId="0" xfId="0" applyFont="1" applyFill="1"/>
    <xf numFmtId="0" fontId="7" fillId="2" borderId="0" xfId="0" applyFont="1" applyFill="1"/>
    <xf numFmtId="0" fontId="11" fillId="0" borderId="0" xfId="0" applyFont="1" applyAlignment="1">
      <alignment vertical="center" wrapText="1" readingOrder="1"/>
    </xf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3" fillId="2" borderId="0" xfId="0" quotePrefix="1" applyFont="1" applyFill="1"/>
    <xf numFmtId="0" fontId="2" fillId="12" borderId="0" xfId="0" applyFont="1" applyFill="1"/>
    <xf numFmtId="0" fontId="2" fillId="17" borderId="0" xfId="0" applyFont="1" applyFill="1"/>
    <xf numFmtId="0" fontId="3" fillId="2" borderId="0" xfId="0" quotePrefix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shrinkToFit="1"/>
    </xf>
    <xf numFmtId="0" fontId="16" fillId="0" borderId="1" xfId="0" applyFont="1" applyBorder="1" applyAlignment="1">
      <alignment vertical="center" wrapText="1"/>
    </xf>
    <xf numFmtId="3" fontId="16" fillId="0" borderId="1" xfId="0" applyNumberFormat="1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 wrapText="1"/>
    </xf>
    <xf numFmtId="0" fontId="16" fillId="21" borderId="0" xfId="0" quotePrefix="1" applyFont="1" applyFill="1"/>
    <xf numFmtId="0" fontId="16" fillId="2" borderId="0" xfId="0" quotePrefix="1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6" fillId="2" borderId="0" xfId="0" quotePrefix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/>
    </xf>
    <xf numFmtId="0" fontId="16" fillId="2" borderId="0" xfId="0" quotePrefix="1" applyFont="1" applyFill="1" applyAlignment="1">
      <alignment vertical="center"/>
    </xf>
    <xf numFmtId="0" fontId="17" fillId="22" borderId="0" xfId="0" applyFont="1" applyFill="1"/>
    <xf numFmtId="0" fontId="16" fillId="2" borderId="2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3" fontId="16" fillId="2" borderId="7" xfId="0" applyNumberFormat="1" applyFont="1" applyFill="1" applyBorder="1" applyAlignment="1">
      <alignment horizontal="center" vertical="center"/>
    </xf>
    <xf numFmtId="165" fontId="16" fillId="2" borderId="10" xfId="1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164" fontId="16" fillId="2" borderId="10" xfId="1" applyNumberFormat="1" applyFont="1" applyFill="1" applyBorder="1" applyAlignment="1">
      <alignment horizontal="center" vertical="center"/>
    </xf>
    <xf numFmtId="165" fontId="17" fillId="22" borderId="0" xfId="1" applyNumberFormat="1" applyFont="1" applyFill="1"/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right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/>
    <xf numFmtId="0" fontId="17" fillId="2" borderId="0" xfId="0" applyFont="1" applyFill="1" applyAlignment="1">
      <alignment horizontal="center" vertical="center"/>
    </xf>
    <xf numFmtId="0" fontId="17" fillId="0" borderId="12" xfId="0" applyFont="1" applyBorder="1"/>
    <xf numFmtId="0" fontId="16" fillId="0" borderId="13" xfId="0" applyFont="1" applyBorder="1"/>
    <xf numFmtId="0" fontId="16" fillId="2" borderId="13" xfId="0" applyFont="1" applyFill="1" applyBorder="1"/>
    <xf numFmtId="0" fontId="16" fillId="2" borderId="14" xfId="0" applyFont="1" applyFill="1" applyBorder="1"/>
    <xf numFmtId="0" fontId="17" fillId="0" borderId="15" xfId="0" applyFont="1" applyBorder="1"/>
    <xf numFmtId="0" fontId="16" fillId="0" borderId="16" xfId="0" applyFont="1" applyBorder="1"/>
    <xf numFmtId="0" fontId="16" fillId="2" borderId="17" xfId="0" applyFont="1" applyFill="1" applyBorder="1"/>
    <xf numFmtId="0" fontId="17" fillId="21" borderId="0" xfId="0" applyFont="1" applyFill="1"/>
    <xf numFmtId="0" fontId="17" fillId="21" borderId="0" xfId="0" quotePrefix="1" applyFont="1" applyFill="1"/>
    <xf numFmtId="0" fontId="16" fillId="9" borderId="0" xfId="0" applyFont="1" applyFill="1"/>
    <xf numFmtId="0" fontId="16" fillId="2" borderId="0" xfId="0" applyFont="1" applyFill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24" fillId="17" borderId="0" xfId="0" applyFont="1" applyFill="1" applyAlignment="1">
      <alignment horizontal="left" vertical="center"/>
    </xf>
    <xf numFmtId="0" fontId="17" fillId="16" borderId="11" xfId="0" applyFont="1" applyFill="1" applyBorder="1" applyAlignment="1">
      <alignment horizontal="left" vertical="center"/>
    </xf>
    <xf numFmtId="0" fontId="24" fillId="17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13" fillId="15" borderId="0" xfId="0" applyFont="1" applyFill="1" applyAlignment="1">
      <alignment horizontal="left" vertical="center" readingOrder="1"/>
    </xf>
    <xf numFmtId="0" fontId="14" fillId="15" borderId="0" xfId="0" applyFont="1" applyFill="1" applyAlignment="1">
      <alignment horizontal="left" vertical="center" readingOrder="1"/>
    </xf>
    <xf numFmtId="0" fontId="12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/>
    </xf>
    <xf numFmtId="0" fontId="11" fillId="0" borderId="0" xfId="0" applyFont="1" applyAlignment="1">
      <alignment horizontal="left" vertical="center" wrapText="1" readingOrder="1"/>
    </xf>
    <xf numFmtId="0" fontId="15" fillId="10" borderId="0" xfId="0" applyFont="1" applyFill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9" fillId="8" borderId="0" xfId="0" applyFont="1" applyFill="1" applyAlignment="1">
      <alignment horizontal="left" vertical="center" readingOrder="1"/>
    </xf>
    <xf numFmtId="0" fontId="18" fillId="16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20" fillId="8" borderId="0" xfId="0" applyFont="1" applyFill="1" applyAlignment="1">
      <alignment horizontal="left" vertical="center" readingOrder="1"/>
    </xf>
    <xf numFmtId="0" fontId="16" fillId="9" borderId="0" xfId="0" applyFont="1" applyFill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21" fillId="8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 wrapText="1"/>
    </xf>
    <xf numFmtId="0" fontId="22" fillId="18" borderId="0" xfId="0" applyFont="1" applyFill="1" applyAlignment="1">
      <alignment horizontal="left" vertical="center" wrapText="1"/>
    </xf>
    <xf numFmtId="0" fontId="22" fillId="19" borderId="0" xfId="0" applyFont="1" applyFill="1" applyAlignment="1">
      <alignment horizontal="left" vertical="center" wrapText="1"/>
    </xf>
    <xf numFmtId="0" fontId="22" fillId="20" borderId="0" xfId="0" applyFont="1" applyFill="1" applyAlignment="1">
      <alignment horizontal="left" vertical="center" wrapText="1"/>
    </xf>
    <xf numFmtId="0" fontId="17" fillId="22" borderId="0" xfId="0" applyFont="1" applyFill="1" applyAlignment="1">
      <alignment horizontal="center"/>
    </xf>
    <xf numFmtId="0" fontId="23" fillId="17" borderId="0" xfId="0" applyFont="1" applyFill="1" applyAlignment="1">
      <alignment horizontal="left" vertical="center"/>
    </xf>
    <xf numFmtId="0" fontId="17" fillId="21" borderId="0" xfId="0" applyFont="1" applyFill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12700</xdr:rowOff>
    </xdr:from>
    <xdr:to>
      <xdr:col>5</xdr:col>
      <xdr:colOff>133668</xdr:colOff>
      <xdr:row>53</xdr:row>
      <xdr:rowOff>63768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17B932B-84FC-DA30-1D52-54FFF7DDE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0"/>
          <a:ext cx="6178868" cy="5207268"/>
        </a:xfrm>
        <a:prstGeom prst="rect">
          <a:avLst/>
        </a:prstGeom>
      </xdr:spPr>
    </xdr:pic>
    <xdr:clientData/>
  </xdr:twoCellAnchor>
  <xdr:twoCellAnchor editAs="oneCell">
    <xdr:from>
      <xdr:col>4</xdr:col>
      <xdr:colOff>1390650</xdr:colOff>
      <xdr:row>0</xdr:row>
      <xdr:rowOff>0</xdr:rowOff>
    </xdr:from>
    <xdr:to>
      <xdr:col>13</xdr:col>
      <xdr:colOff>260677</xdr:colOff>
      <xdr:row>18</xdr:row>
      <xdr:rowOff>44624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8C64F71-FF02-7F70-9E8C-AEE66D9A9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850" y="0"/>
          <a:ext cx="6363027" cy="3378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38100</xdr:rowOff>
    </xdr:from>
    <xdr:to>
      <xdr:col>5</xdr:col>
      <xdr:colOff>165419</xdr:colOff>
      <xdr:row>24</xdr:row>
      <xdr:rowOff>114468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6B998CE-F8EE-1E64-E8FE-DEAED0F54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38250"/>
          <a:ext cx="6210619" cy="3276768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17</xdr:row>
      <xdr:rowOff>88900</xdr:rowOff>
    </xdr:from>
    <xdr:to>
      <xdr:col>13</xdr:col>
      <xdr:colOff>140015</xdr:colOff>
      <xdr:row>32</xdr:row>
      <xdr:rowOff>165241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0E424F1-4F48-A0F6-582E-DD185FF6D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46800" y="3359150"/>
          <a:ext cx="6134415" cy="27433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2489200</xdr:colOff>
      <xdr:row>9</xdr:row>
      <xdr:rowOff>127000</xdr:rowOff>
    </xdr:from>
    <xdr:to>
      <xdr:col>4</xdr:col>
      <xdr:colOff>298515</xdr:colOff>
      <xdr:row>11</xdr:row>
      <xdr:rowOff>139719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ECA7A36-B420-0891-6D78-5803EF5A0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9200" y="1752600"/>
          <a:ext cx="1257365" cy="3683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5</xdr:row>
      <xdr:rowOff>69850</xdr:rowOff>
    </xdr:from>
    <xdr:to>
      <xdr:col>4</xdr:col>
      <xdr:colOff>539750</xdr:colOff>
      <xdr:row>8</xdr:row>
      <xdr:rowOff>127000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0C8ECAD-4439-9B59-3662-F1659D1BA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1016000"/>
          <a:ext cx="1835150" cy="609600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0</xdr:row>
      <xdr:rowOff>95250</xdr:rowOff>
    </xdr:from>
    <xdr:to>
      <xdr:col>14</xdr:col>
      <xdr:colOff>32099</xdr:colOff>
      <xdr:row>13</xdr:row>
      <xdr:rowOff>89050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2A26F05-CC0F-9D77-B454-EB74C95C8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7300" y="95250"/>
          <a:ext cx="6788499" cy="2921150"/>
        </a:xfrm>
        <a:prstGeom prst="rect">
          <a:avLst/>
        </a:prstGeom>
      </xdr:spPr>
    </xdr:pic>
    <xdr:clientData/>
  </xdr:twoCellAnchor>
  <xdr:twoCellAnchor editAs="oneCell">
    <xdr:from>
      <xdr:col>0</xdr:col>
      <xdr:colOff>565150</xdr:colOff>
      <xdr:row>13</xdr:row>
      <xdr:rowOff>19050</xdr:rowOff>
    </xdr:from>
    <xdr:to>
      <xdr:col>4</xdr:col>
      <xdr:colOff>1390804</xdr:colOff>
      <xdr:row>15</xdr:row>
      <xdr:rowOff>12719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E63F78F-2CF7-39BC-C97A-7F507DD8C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5150" y="2946400"/>
          <a:ext cx="2997354" cy="36196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15</xdr:row>
      <xdr:rowOff>63500</xdr:rowOff>
    </xdr:from>
    <xdr:to>
      <xdr:col>4</xdr:col>
      <xdr:colOff>1428906</xdr:colOff>
      <xdr:row>17</xdr:row>
      <xdr:rowOff>25417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B6941AB-63C6-3DFC-F060-5F944E53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3359150"/>
          <a:ext cx="3029106" cy="330217"/>
        </a:xfrm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17</xdr:row>
      <xdr:rowOff>165100</xdr:rowOff>
    </xdr:from>
    <xdr:to>
      <xdr:col>4</xdr:col>
      <xdr:colOff>831948</xdr:colOff>
      <xdr:row>19</xdr:row>
      <xdr:rowOff>107966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511719DC-0481-F7D3-2447-DE959535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2200" y="3829050"/>
          <a:ext cx="1911448" cy="311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139700</xdr:rowOff>
    </xdr:from>
    <xdr:to>
      <xdr:col>5</xdr:col>
      <xdr:colOff>616172</xdr:colOff>
      <xdr:row>21</xdr:row>
      <xdr:rowOff>120668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D5711F72-19AD-2A96-3B61-9CE4D2552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171950"/>
          <a:ext cx="4311872" cy="3492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565150</xdr:colOff>
      <xdr:row>24</xdr:row>
      <xdr:rowOff>139700</xdr:rowOff>
    </xdr:from>
    <xdr:to>
      <xdr:col>3</xdr:col>
      <xdr:colOff>863680</xdr:colOff>
      <xdr:row>26</xdr:row>
      <xdr:rowOff>95266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BE780CE-F5F4-6072-C878-CEE0853C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50" y="4591050"/>
          <a:ext cx="1549480" cy="3111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15</xdr:row>
      <xdr:rowOff>146050</xdr:rowOff>
    </xdr:from>
    <xdr:to>
      <xdr:col>7</xdr:col>
      <xdr:colOff>666916</xdr:colOff>
      <xdr:row>16</xdr:row>
      <xdr:rowOff>146059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2EE3F08-3EAC-47FA-DB72-49056DE86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" y="3009900"/>
          <a:ext cx="3238666" cy="177809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</xdr:colOff>
      <xdr:row>2</xdr:row>
      <xdr:rowOff>101600</xdr:rowOff>
    </xdr:from>
    <xdr:to>
      <xdr:col>12</xdr:col>
      <xdr:colOff>89019</xdr:colOff>
      <xdr:row>4</xdr:row>
      <xdr:rowOff>146071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AC99E7A-983B-2801-0246-E712B280A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0100" y="641350"/>
          <a:ext cx="2324219" cy="400071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18</xdr:row>
      <xdr:rowOff>165100</xdr:rowOff>
    </xdr:from>
    <xdr:to>
      <xdr:col>8</xdr:col>
      <xdr:colOff>470146</xdr:colOff>
      <xdr:row>20</xdr:row>
      <xdr:rowOff>158768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EB60979-5F38-CB7F-3997-EE7F775F4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650" y="3562350"/>
          <a:ext cx="4781796" cy="349268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6</xdr:row>
      <xdr:rowOff>152400</xdr:rowOff>
    </xdr:from>
    <xdr:to>
      <xdr:col>12</xdr:col>
      <xdr:colOff>368433</xdr:colOff>
      <xdr:row>9</xdr:row>
      <xdr:rowOff>31772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13348A90-AA60-A9F2-26EC-238BE813F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0" y="1403350"/>
          <a:ext cx="2578233" cy="419122"/>
        </a:xfrm>
        <a:prstGeom prst="rect">
          <a:avLst/>
        </a:prstGeom>
      </xdr:spPr>
    </xdr:pic>
    <xdr:clientData/>
  </xdr:twoCellAnchor>
  <xdr:twoCellAnchor editAs="oneCell">
    <xdr:from>
      <xdr:col>9</xdr:col>
      <xdr:colOff>520700</xdr:colOff>
      <xdr:row>8</xdr:row>
      <xdr:rowOff>139700</xdr:rowOff>
    </xdr:from>
    <xdr:to>
      <xdr:col>12</xdr:col>
      <xdr:colOff>12791</xdr:colOff>
      <xdr:row>11</xdr:row>
      <xdr:rowOff>50823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457F52E-6443-2472-2A04-29471E2C3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0000" y="1752600"/>
          <a:ext cx="1778091" cy="444523"/>
        </a:xfrm>
        <a:prstGeom prst="rect">
          <a:avLst/>
        </a:prstGeom>
      </xdr:spPr>
    </xdr:pic>
    <xdr:clientData/>
  </xdr:twoCellAnchor>
  <xdr:twoCellAnchor editAs="oneCell">
    <xdr:from>
      <xdr:col>9</xdr:col>
      <xdr:colOff>355600</xdr:colOff>
      <xdr:row>11</xdr:row>
      <xdr:rowOff>95250</xdr:rowOff>
    </xdr:from>
    <xdr:to>
      <xdr:col>12</xdr:col>
      <xdr:colOff>203310</xdr:colOff>
      <xdr:row>13</xdr:row>
      <xdr:rowOff>12714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95F817-F46C-F7C5-8A2B-1F21C5BB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84900" y="2241550"/>
          <a:ext cx="2133710" cy="27306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13</xdr:row>
      <xdr:rowOff>127000</xdr:rowOff>
    </xdr:from>
    <xdr:to>
      <xdr:col>12</xdr:col>
      <xdr:colOff>673236</xdr:colOff>
      <xdr:row>16</xdr:row>
      <xdr:rowOff>19072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FA60F96C-1DB1-E75B-9967-075E6DD4A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34100" y="2628900"/>
          <a:ext cx="2654436" cy="425472"/>
        </a:xfrm>
        <a:prstGeom prst="rect">
          <a:avLst/>
        </a:prstGeom>
      </xdr:spPr>
    </xdr:pic>
    <xdr:clientData/>
  </xdr:twoCellAnchor>
  <xdr:twoCellAnchor editAs="oneCell">
    <xdr:from>
      <xdr:col>9</xdr:col>
      <xdr:colOff>298450</xdr:colOff>
      <xdr:row>16</xdr:row>
      <xdr:rowOff>107950</xdr:rowOff>
    </xdr:from>
    <xdr:to>
      <xdr:col>13</xdr:col>
      <xdr:colOff>355760</xdr:colOff>
      <xdr:row>18</xdr:row>
      <xdr:rowOff>114319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8955E624-E8EB-4E55-E389-F5BF8CDA3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27750" y="3143250"/>
          <a:ext cx="3105310" cy="361969"/>
        </a:xfrm>
        <a:prstGeom prst="rect">
          <a:avLst/>
        </a:prstGeom>
      </xdr:spPr>
    </xdr:pic>
    <xdr:clientData/>
  </xdr:twoCellAnchor>
  <xdr:twoCellAnchor editAs="oneCell">
    <xdr:from>
      <xdr:col>8</xdr:col>
      <xdr:colOff>482600</xdr:colOff>
      <xdr:row>5</xdr:row>
      <xdr:rowOff>6350</xdr:rowOff>
    </xdr:from>
    <xdr:to>
      <xdr:col>14</xdr:col>
      <xdr:colOff>425682</xdr:colOff>
      <xdr:row>7</xdr:row>
      <xdr:rowOff>12719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4BBDD810-C03D-F397-10C5-3861977A6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49900" y="1079500"/>
          <a:ext cx="4515082" cy="368319"/>
        </a:xfrm>
        <a:prstGeom prst="rect">
          <a:avLst/>
        </a:prstGeom>
      </xdr:spPr>
    </xdr:pic>
    <xdr:clientData/>
  </xdr:twoCellAnchor>
  <xdr:twoCellAnchor editAs="oneCell">
    <xdr:from>
      <xdr:col>4</xdr:col>
      <xdr:colOff>425450</xdr:colOff>
      <xdr:row>21</xdr:row>
      <xdr:rowOff>76200</xdr:rowOff>
    </xdr:from>
    <xdr:to>
      <xdr:col>5</xdr:col>
      <xdr:colOff>349287</xdr:colOff>
      <xdr:row>28</xdr:row>
      <xdr:rowOff>38162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9B6F93FF-3C18-ED44-93C0-C36543AD3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70150" y="4006850"/>
          <a:ext cx="723937" cy="1206562"/>
        </a:xfrm>
        <a:prstGeom prst="rect">
          <a:avLst/>
        </a:prstGeom>
      </xdr:spPr>
    </xdr:pic>
    <xdr:clientData/>
  </xdr:twoCellAnchor>
  <xdr:twoCellAnchor editAs="oneCell">
    <xdr:from>
      <xdr:col>4</xdr:col>
      <xdr:colOff>406400</xdr:colOff>
      <xdr:row>30</xdr:row>
      <xdr:rowOff>101600</xdr:rowOff>
    </xdr:from>
    <xdr:to>
      <xdr:col>9</xdr:col>
      <xdr:colOff>266887</xdr:colOff>
      <xdr:row>32</xdr:row>
      <xdr:rowOff>88918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FFBA1835-146A-0B5E-A1F5-B354B82E8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51100" y="5638800"/>
          <a:ext cx="3645087" cy="342918"/>
        </a:xfrm>
        <a:prstGeom prst="rect">
          <a:avLst/>
        </a:prstGeom>
      </xdr:spPr>
    </xdr:pic>
    <xdr:clientData/>
  </xdr:twoCellAnchor>
  <xdr:twoCellAnchor editAs="oneCell">
    <xdr:from>
      <xdr:col>9</xdr:col>
      <xdr:colOff>368300</xdr:colOff>
      <xdr:row>27</xdr:row>
      <xdr:rowOff>19051</xdr:rowOff>
    </xdr:from>
    <xdr:to>
      <xdr:col>11</xdr:col>
      <xdr:colOff>444582</xdr:colOff>
      <xdr:row>37</xdr:row>
      <xdr:rowOff>12701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FCF0B98E-309D-415D-62AD-9245FA7CF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97600" y="5016501"/>
          <a:ext cx="1600282" cy="177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C510-523F-40D3-A681-C69A09CC090B}">
  <dimension ref="A1:K35"/>
  <sheetViews>
    <sheetView topLeftCell="A12" zoomScale="110" zoomScaleNormal="110" workbookViewId="0">
      <selection activeCell="A23" sqref="A23"/>
    </sheetView>
  </sheetViews>
  <sheetFormatPr baseColWidth="10" defaultRowHeight="14" x14ac:dyDescent="0.3"/>
  <cols>
    <col min="1" max="1" width="14.26953125" style="1" customWidth="1"/>
    <col min="2" max="2" width="12.6328125" style="1" customWidth="1"/>
    <col min="3" max="3" width="14.6328125" style="1" customWidth="1"/>
    <col min="4" max="4" width="2.81640625" style="1" bestFit="1" customWidth="1"/>
    <col min="5" max="5" width="23.08984375" style="1" bestFit="1" customWidth="1"/>
    <col min="6" max="6" width="5.6328125" style="1" bestFit="1" customWidth="1"/>
    <col min="7" max="7" width="2.81640625" style="1" bestFit="1" customWidth="1"/>
    <col min="8" max="16384" width="10.90625" style="1"/>
  </cols>
  <sheetData>
    <row r="1" spans="1:10" s="5" customFormat="1" ht="24" customHeight="1" x14ac:dyDescent="0.45">
      <c r="A1" s="82" t="s">
        <v>10</v>
      </c>
      <c r="B1" s="82"/>
      <c r="C1" s="82"/>
      <c r="D1" s="82"/>
      <c r="E1" s="82"/>
      <c r="F1" s="82"/>
      <c r="G1" s="82"/>
      <c r="H1" s="82"/>
      <c r="I1" s="82"/>
      <c r="J1" s="82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/>
      <c r="B4" s="86"/>
      <c r="C4" s="86"/>
      <c r="J4" s="4"/>
    </row>
    <row r="5" spans="1:10" x14ac:dyDescent="0.3">
      <c r="A5" s="4"/>
      <c r="B5" s="87" t="s">
        <v>0</v>
      </c>
      <c r="C5" s="87"/>
      <c r="D5" s="2" t="s">
        <v>3</v>
      </c>
      <c r="E5" s="88" t="s">
        <v>8</v>
      </c>
      <c r="F5" s="88"/>
      <c r="G5" s="2" t="s">
        <v>3</v>
      </c>
      <c r="H5" s="89" t="s">
        <v>2</v>
      </c>
      <c r="I5" s="89"/>
      <c r="J5" s="4"/>
    </row>
    <row r="6" spans="1:10" ht="14.5" x14ac:dyDescent="0.35">
      <c r="A6" s="4"/>
      <c r="B6" s="90" t="s">
        <v>9</v>
      </c>
      <c r="C6" s="86"/>
      <c r="E6" s="90" t="s">
        <v>9</v>
      </c>
      <c r="F6" s="86"/>
      <c r="H6" s="90" t="s">
        <v>9</v>
      </c>
      <c r="I6" s="86"/>
      <c r="J6" s="4"/>
    </row>
    <row r="7" spans="1:10" x14ac:dyDescent="0.3">
      <c r="A7" s="4"/>
      <c r="B7" s="86" t="s">
        <v>7</v>
      </c>
      <c r="C7" s="86"/>
      <c r="D7" s="3" t="s">
        <v>1</v>
      </c>
      <c r="E7" s="1" t="s">
        <v>4</v>
      </c>
      <c r="F7" s="1" t="s">
        <v>5</v>
      </c>
      <c r="G7" s="3" t="s">
        <v>1</v>
      </c>
      <c r="H7" s="86" t="s">
        <v>6</v>
      </c>
      <c r="I7" s="86"/>
      <c r="J7" s="4"/>
    </row>
    <row r="8" spans="1:10" x14ac:dyDescent="0.3">
      <c r="A8" s="4"/>
      <c r="J8" s="4"/>
    </row>
    <row r="9" spans="1:10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1" spans="1:10" s="5" customFormat="1" ht="20.5" x14ac:dyDescent="0.45">
      <c r="A11" s="82" t="s">
        <v>11</v>
      </c>
      <c r="B11" s="82"/>
      <c r="C11" s="82"/>
      <c r="D11" s="82"/>
      <c r="E11" s="82"/>
      <c r="F11" s="82"/>
      <c r="G11" s="82"/>
      <c r="H11" s="82"/>
      <c r="I11" s="82"/>
      <c r="J11" s="82"/>
    </row>
    <row r="12" spans="1:10" x14ac:dyDescent="0.3">
      <c r="A12" s="85" t="s">
        <v>12</v>
      </c>
      <c r="B12" s="85"/>
      <c r="C12" s="85"/>
      <c r="D12" s="85"/>
      <c r="E12" s="84" t="s">
        <v>13</v>
      </c>
      <c r="F12" s="84"/>
      <c r="G12" s="84"/>
      <c r="H12" s="84"/>
      <c r="I12" s="84" t="s">
        <v>5</v>
      </c>
      <c r="J12" s="84"/>
    </row>
    <row r="13" spans="1:10" ht="14.5" customHeight="1" x14ac:dyDescent="0.3">
      <c r="A13" s="83" t="s">
        <v>14</v>
      </c>
      <c r="B13" s="83"/>
      <c r="C13" s="83"/>
      <c r="D13" s="83"/>
      <c r="E13" s="83" t="s">
        <v>18</v>
      </c>
      <c r="F13" s="83"/>
      <c r="G13" s="83"/>
      <c r="H13" s="83"/>
      <c r="I13" s="83" t="s">
        <v>21</v>
      </c>
      <c r="J13" s="83"/>
    </row>
    <row r="14" spans="1:10" ht="14.5" customHeight="1" x14ac:dyDescent="0.3">
      <c r="A14" s="83" t="s">
        <v>15</v>
      </c>
      <c r="B14" s="83"/>
      <c r="C14" s="83"/>
      <c r="D14" s="83"/>
      <c r="E14" s="83" t="s">
        <v>19</v>
      </c>
      <c r="F14" s="83"/>
      <c r="G14" s="83"/>
      <c r="H14" s="83"/>
      <c r="I14" s="83" t="s">
        <v>23</v>
      </c>
      <c r="J14" s="83"/>
    </row>
    <row r="15" spans="1:10" ht="14.5" customHeight="1" x14ac:dyDescent="0.3">
      <c r="A15" s="83" t="s">
        <v>16</v>
      </c>
      <c r="B15" s="83"/>
      <c r="C15" s="83"/>
      <c r="D15" s="83"/>
      <c r="E15" s="83" t="s">
        <v>20</v>
      </c>
      <c r="F15" s="83"/>
      <c r="G15" s="83"/>
      <c r="H15" s="83"/>
      <c r="I15" s="83" t="s">
        <v>22</v>
      </c>
      <c r="J15" s="83"/>
    </row>
    <row r="16" spans="1:10" ht="14.5" customHeight="1" x14ac:dyDescent="0.3">
      <c r="A16" s="83" t="s">
        <v>17</v>
      </c>
      <c r="B16" s="83"/>
      <c r="C16" s="83"/>
      <c r="D16" s="7"/>
      <c r="E16" s="7"/>
      <c r="F16" s="7"/>
      <c r="G16" s="7"/>
      <c r="H16" s="7"/>
      <c r="I16" s="7"/>
      <c r="J16" s="7"/>
    </row>
    <row r="18" spans="1:11" s="5" customFormat="1" ht="20.5" x14ac:dyDescent="0.45">
      <c r="A18" s="82" t="s">
        <v>24</v>
      </c>
      <c r="B18" s="82"/>
      <c r="C18" s="82"/>
      <c r="D18" s="82"/>
      <c r="E18" s="82"/>
      <c r="F18" s="82"/>
      <c r="G18" s="82"/>
      <c r="H18" s="82"/>
      <c r="I18" s="82"/>
      <c r="J18" s="82"/>
    </row>
    <row r="19" spans="1:11" x14ac:dyDescent="0.3">
      <c r="A19" s="79" t="s">
        <v>25</v>
      </c>
      <c r="B19" s="79"/>
      <c r="C19" s="79" t="s">
        <v>26</v>
      </c>
      <c r="D19" s="79"/>
      <c r="E19" s="79"/>
      <c r="F19" s="79" t="s">
        <v>27</v>
      </c>
      <c r="G19" s="79"/>
      <c r="H19" s="79"/>
      <c r="I19" s="79" t="s">
        <v>28</v>
      </c>
      <c r="J19" s="79"/>
    </row>
    <row r="20" spans="1:11" ht="57.5" customHeight="1" x14ac:dyDescent="0.3">
      <c r="A20" s="80" t="s">
        <v>29</v>
      </c>
      <c r="B20" s="80"/>
      <c r="C20" s="80" t="s">
        <v>30</v>
      </c>
      <c r="D20" s="80"/>
      <c r="E20" s="80"/>
      <c r="F20" s="80" t="s">
        <v>31</v>
      </c>
      <c r="G20" s="80"/>
      <c r="H20" s="80"/>
      <c r="I20" s="80" t="s">
        <v>32</v>
      </c>
      <c r="J20" s="80"/>
      <c r="K20" s="6"/>
    </row>
    <row r="22" spans="1:11" s="5" customFormat="1" ht="20.5" x14ac:dyDescent="0.45">
      <c r="A22" s="78" t="s">
        <v>33</v>
      </c>
      <c r="B22" s="78"/>
      <c r="C22" s="78" t="s">
        <v>33</v>
      </c>
      <c r="D22" s="78"/>
      <c r="E22" s="78"/>
      <c r="F22" s="78"/>
      <c r="G22" s="78"/>
      <c r="H22" s="78"/>
      <c r="I22" s="78"/>
      <c r="J22" s="78"/>
    </row>
    <row r="24" spans="1:11" ht="14.5" customHeight="1" x14ac:dyDescent="0.3">
      <c r="A24" s="81" t="s">
        <v>34</v>
      </c>
      <c r="B24" s="81"/>
      <c r="C24" s="81"/>
      <c r="D24" s="81"/>
      <c r="E24" s="81"/>
      <c r="F24" s="81"/>
      <c r="G24" s="81"/>
      <c r="H24" s="81"/>
      <c r="I24" s="81"/>
      <c r="J24" s="81"/>
    </row>
    <row r="25" spans="1:11" ht="14.5" customHeight="1" x14ac:dyDescent="0.3">
      <c r="A25" s="72" t="s">
        <v>35</v>
      </c>
      <c r="B25" s="72"/>
      <c r="C25" s="72"/>
      <c r="D25" s="72"/>
      <c r="E25" s="72"/>
      <c r="F25" s="72"/>
      <c r="G25" s="72"/>
      <c r="H25" s="72"/>
      <c r="I25" s="72"/>
      <c r="J25" s="72"/>
    </row>
    <row r="26" spans="1:11" ht="14.5" customHeight="1" x14ac:dyDescent="0.3">
      <c r="A26" s="73" t="s">
        <v>36</v>
      </c>
      <c r="B26" s="73"/>
      <c r="C26" s="73"/>
      <c r="D26" s="73"/>
      <c r="E26" s="73"/>
      <c r="F26" s="73"/>
      <c r="G26" s="73"/>
      <c r="H26" s="73"/>
      <c r="I26" s="73"/>
      <c r="J26" s="73"/>
    </row>
    <row r="27" spans="1:11" ht="14.5" customHeight="1" x14ac:dyDescent="0.3">
      <c r="A27" s="74" t="s">
        <v>37</v>
      </c>
      <c r="B27" s="74"/>
      <c r="C27" s="74"/>
      <c r="D27" s="74"/>
      <c r="E27" s="74"/>
      <c r="F27" s="74"/>
      <c r="G27" s="74"/>
      <c r="H27" s="74"/>
      <c r="I27" s="74"/>
      <c r="J27" s="74"/>
    </row>
    <row r="28" spans="1:11" ht="15" x14ac:dyDescent="0.3">
      <c r="A28" s="75" t="s">
        <v>38</v>
      </c>
      <c r="B28" s="75"/>
      <c r="C28" s="75"/>
      <c r="D28" s="75"/>
      <c r="E28" s="75"/>
      <c r="F28" s="75"/>
      <c r="G28" s="75"/>
      <c r="H28" s="75"/>
      <c r="I28" s="75"/>
      <c r="J28" s="75"/>
    </row>
    <row r="29" spans="1:11" ht="31.5" customHeight="1" x14ac:dyDescent="0.3">
      <c r="A29" s="76" t="s">
        <v>39</v>
      </c>
      <c r="B29" s="77"/>
      <c r="C29" s="77"/>
      <c r="D29" s="77"/>
      <c r="E29" s="77"/>
      <c r="F29" s="77"/>
      <c r="G29" s="77"/>
      <c r="H29" s="77"/>
      <c r="I29" s="77"/>
      <c r="J29" s="77"/>
    </row>
    <row r="31" spans="1:11" s="5" customFormat="1" ht="20.5" x14ac:dyDescent="0.45">
      <c r="A31" s="78" t="s">
        <v>40</v>
      </c>
      <c r="B31" s="78" t="s">
        <v>40</v>
      </c>
      <c r="C31" s="78"/>
      <c r="D31" s="78"/>
      <c r="E31" s="78"/>
      <c r="F31" s="78"/>
      <c r="G31" s="78"/>
      <c r="H31" s="78"/>
      <c r="I31" s="78"/>
      <c r="J31" s="78"/>
    </row>
    <row r="32" spans="1:11" x14ac:dyDescent="0.3">
      <c r="A32" s="69" t="s">
        <v>41</v>
      </c>
      <c r="B32" s="69"/>
      <c r="C32" s="69"/>
      <c r="D32" s="69"/>
      <c r="E32" s="69"/>
      <c r="F32" s="69" t="s">
        <v>42</v>
      </c>
      <c r="G32" s="69"/>
      <c r="H32" s="69"/>
      <c r="I32" s="69"/>
      <c r="J32" s="69"/>
    </row>
    <row r="33" spans="1:10" ht="119" customHeight="1" x14ac:dyDescent="0.3">
      <c r="A33" s="70" t="s">
        <v>43</v>
      </c>
      <c r="B33" s="70"/>
      <c r="C33" s="70"/>
      <c r="D33" s="70"/>
      <c r="E33" s="70"/>
      <c r="F33" s="70" t="s">
        <v>44</v>
      </c>
      <c r="G33" s="71"/>
      <c r="H33" s="71"/>
      <c r="I33" s="71"/>
      <c r="J33" s="71"/>
    </row>
    <row r="34" spans="1:10" x14ac:dyDescent="0.3">
      <c r="A34" s="70"/>
      <c r="B34" s="70"/>
      <c r="C34" s="70"/>
      <c r="D34" s="70"/>
      <c r="E34" s="70"/>
      <c r="F34" s="71"/>
      <c r="G34" s="71"/>
      <c r="H34" s="71"/>
      <c r="I34" s="71"/>
      <c r="J34" s="71"/>
    </row>
    <row r="35" spans="1:10" x14ac:dyDescent="0.3">
      <c r="A35" s="70"/>
      <c r="B35" s="70"/>
      <c r="C35" s="70"/>
      <c r="D35" s="70"/>
      <c r="E35" s="70"/>
      <c r="F35" s="71"/>
      <c r="G35" s="71"/>
      <c r="H35" s="71"/>
      <c r="I35" s="71"/>
      <c r="J35" s="71"/>
    </row>
  </sheetData>
  <mergeCells count="45">
    <mergeCell ref="A1:J1"/>
    <mergeCell ref="A11:J11"/>
    <mergeCell ref="E12:H12"/>
    <mergeCell ref="I12:J12"/>
    <mergeCell ref="A12:D12"/>
    <mergeCell ref="B4:C4"/>
    <mergeCell ref="B5:C5"/>
    <mergeCell ref="E5:F5"/>
    <mergeCell ref="H5:I5"/>
    <mergeCell ref="B7:C7"/>
    <mergeCell ref="H7:I7"/>
    <mergeCell ref="B6:C6"/>
    <mergeCell ref="E6:F6"/>
    <mergeCell ref="H6:I6"/>
    <mergeCell ref="A13:D13"/>
    <mergeCell ref="A14:D14"/>
    <mergeCell ref="A15:D15"/>
    <mergeCell ref="A16:C16"/>
    <mergeCell ref="I13:J13"/>
    <mergeCell ref="I14:J14"/>
    <mergeCell ref="I15:J15"/>
    <mergeCell ref="E13:H13"/>
    <mergeCell ref="E14:H14"/>
    <mergeCell ref="E15:H15"/>
    <mergeCell ref="A24:J24"/>
    <mergeCell ref="A18:J18"/>
    <mergeCell ref="F19:H19"/>
    <mergeCell ref="F20:H20"/>
    <mergeCell ref="I19:J19"/>
    <mergeCell ref="I20:J20"/>
    <mergeCell ref="A22:J22"/>
    <mergeCell ref="C19:E19"/>
    <mergeCell ref="A19:B19"/>
    <mergeCell ref="C20:E20"/>
    <mergeCell ref="A20:B20"/>
    <mergeCell ref="A32:E32"/>
    <mergeCell ref="F32:J32"/>
    <mergeCell ref="A33:E35"/>
    <mergeCell ref="F33:J35"/>
    <mergeCell ref="A25:J25"/>
    <mergeCell ref="A26:J26"/>
    <mergeCell ref="A27:J27"/>
    <mergeCell ref="A28:J28"/>
    <mergeCell ref="A29:J29"/>
    <mergeCell ref="A31:J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C59A-1C1C-4931-9B05-5E9632E4474A}">
  <dimension ref="A1:E6"/>
  <sheetViews>
    <sheetView topLeftCell="A21" workbookViewId="0">
      <selection activeCell="A4" sqref="A4:XFD6"/>
    </sheetView>
  </sheetViews>
  <sheetFormatPr baseColWidth="10" defaultRowHeight="14" x14ac:dyDescent="0.3"/>
  <cols>
    <col min="1" max="2" width="20" style="9" customWidth="1"/>
    <col min="3" max="3" width="6.54296875" style="9" customWidth="1"/>
    <col min="4" max="5" width="20" style="9" customWidth="1"/>
    <col min="6" max="16384" width="10.90625" style="9"/>
  </cols>
  <sheetData>
    <row r="1" spans="1:5" x14ac:dyDescent="0.3">
      <c r="A1" s="92" t="s">
        <v>53</v>
      </c>
      <c r="B1" s="92"/>
      <c r="C1" s="92"/>
      <c r="D1" s="92"/>
      <c r="E1" s="92"/>
    </row>
    <row r="2" spans="1:5" x14ac:dyDescent="0.3">
      <c r="A2" s="93" t="s">
        <v>45</v>
      </c>
      <c r="B2" s="93"/>
      <c r="D2" s="93" t="s">
        <v>46</v>
      </c>
      <c r="E2" s="93"/>
    </row>
    <row r="4" spans="1:5" ht="17.5" x14ac:dyDescent="0.3">
      <c r="A4" s="91" t="s">
        <v>48</v>
      </c>
      <c r="B4" s="91"/>
      <c r="D4" s="91" t="s">
        <v>52</v>
      </c>
      <c r="E4" s="91"/>
    </row>
    <row r="5" spans="1:5" ht="17.5" x14ac:dyDescent="0.3">
      <c r="A5" s="94" t="s">
        <v>47</v>
      </c>
      <c r="B5" s="94"/>
      <c r="D5" s="94" t="s">
        <v>51</v>
      </c>
      <c r="E5" s="94"/>
    </row>
    <row r="6" spans="1:5" ht="17.5" x14ac:dyDescent="0.3">
      <c r="A6" s="91" t="s">
        <v>49</v>
      </c>
      <c r="B6" s="91"/>
      <c r="D6" s="91" t="s">
        <v>50</v>
      </c>
      <c r="E6" s="91"/>
    </row>
  </sheetData>
  <mergeCells count="9">
    <mergeCell ref="A6:B6"/>
    <mergeCell ref="D6:E6"/>
    <mergeCell ref="A1:E1"/>
    <mergeCell ref="A2:B2"/>
    <mergeCell ref="D2:E2"/>
    <mergeCell ref="A4:B4"/>
    <mergeCell ref="D4:E4"/>
    <mergeCell ref="A5:B5"/>
    <mergeCell ref="D5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8441-698B-4BBC-AFD9-05B4B476E7C1}">
  <dimension ref="A1:F18"/>
  <sheetViews>
    <sheetView topLeftCell="A12" workbookViewId="0">
      <selection activeCell="G18" sqref="G18"/>
    </sheetView>
  </sheetViews>
  <sheetFormatPr baseColWidth="10" defaultRowHeight="14" x14ac:dyDescent="0.3"/>
  <cols>
    <col min="1" max="1" width="38.90625" style="9" bestFit="1" customWidth="1"/>
    <col min="2" max="2" width="1.81640625" style="9" bestFit="1" customWidth="1"/>
    <col min="3" max="3" width="6.81640625" style="9" bestFit="1" customWidth="1"/>
    <col min="4" max="4" width="1.81640625" style="9" bestFit="1" customWidth="1"/>
    <col min="5" max="16384" width="10.90625" style="9"/>
  </cols>
  <sheetData>
    <row r="1" spans="1:4" x14ac:dyDescent="0.3">
      <c r="A1" s="60" t="s">
        <v>125</v>
      </c>
    </row>
    <row r="2" spans="1:4" x14ac:dyDescent="0.3">
      <c r="A2" s="58" t="s">
        <v>124</v>
      </c>
      <c r="B2" s="59" t="s">
        <v>55</v>
      </c>
      <c r="C2" s="58">
        <v>100000</v>
      </c>
    </row>
    <row r="3" spans="1:4" ht="14.5" thickBot="1" x14ac:dyDescent="0.35"/>
    <row r="4" spans="1:4" x14ac:dyDescent="0.3">
      <c r="A4" s="51" t="s">
        <v>120</v>
      </c>
      <c r="B4" s="52" t="s">
        <v>58</v>
      </c>
      <c r="C4" s="53" t="s">
        <v>122</v>
      </c>
      <c r="D4" s="54" t="s">
        <v>124</v>
      </c>
    </row>
    <row r="5" spans="1:4" ht="14.5" thickBot="1" x14ac:dyDescent="0.35">
      <c r="A5" s="55" t="s">
        <v>121</v>
      </c>
      <c r="B5" s="56" t="s">
        <v>58</v>
      </c>
      <c r="C5" s="56" t="s">
        <v>123</v>
      </c>
      <c r="D5" s="57" t="s">
        <v>124</v>
      </c>
    </row>
    <row r="7" spans="1:4" x14ac:dyDescent="0.3">
      <c r="A7" s="95" t="s">
        <v>126</v>
      </c>
      <c r="B7" s="95"/>
      <c r="C7" s="95"/>
    </row>
    <row r="9" spans="1:4" x14ac:dyDescent="0.3">
      <c r="A9" s="49" t="s">
        <v>127</v>
      </c>
    </row>
    <row r="11" spans="1:4" x14ac:dyDescent="0.3">
      <c r="A11" s="9" t="s">
        <v>124</v>
      </c>
    </row>
    <row r="13" spans="1:4" ht="14.5" thickBot="1" x14ac:dyDescent="0.35"/>
    <row r="14" spans="1:4" x14ac:dyDescent="0.3">
      <c r="A14" s="51" t="s">
        <v>120</v>
      </c>
      <c r="B14" s="52" t="s">
        <v>58</v>
      </c>
      <c r="C14" s="53" t="s">
        <v>122</v>
      </c>
      <c r="D14" s="54" t="s">
        <v>124</v>
      </c>
    </row>
    <row r="15" spans="1:4" ht="14.5" thickBot="1" x14ac:dyDescent="0.35">
      <c r="A15" s="55" t="s">
        <v>121</v>
      </c>
      <c r="B15" s="56" t="s">
        <v>58</v>
      </c>
      <c r="C15" s="56" t="s">
        <v>123</v>
      </c>
      <c r="D15" s="57" t="s">
        <v>124</v>
      </c>
    </row>
    <row r="17" spans="1:6" ht="47.5" customHeight="1" x14ac:dyDescent="0.3">
      <c r="A17" s="96" t="s">
        <v>129</v>
      </c>
      <c r="B17" s="96"/>
      <c r="C17" s="96"/>
      <c r="D17" s="96"/>
      <c r="E17" s="96"/>
      <c r="F17" s="96"/>
    </row>
    <row r="18" spans="1:6" ht="54" customHeight="1" x14ac:dyDescent="0.3">
      <c r="A18" s="96" t="s">
        <v>128</v>
      </c>
      <c r="B18" s="96"/>
      <c r="C18" s="96"/>
      <c r="D18" s="96"/>
      <c r="E18" s="96"/>
      <c r="F18" s="96"/>
    </row>
  </sheetData>
  <mergeCells count="3">
    <mergeCell ref="A7:C7"/>
    <mergeCell ref="A17:F17"/>
    <mergeCell ref="A18:F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F03B-A89D-4C13-8C2B-D073295BAA58}">
  <dimension ref="A1:E13"/>
  <sheetViews>
    <sheetView tabSelected="1" workbookViewId="0">
      <selection activeCell="E26" sqref="E26"/>
    </sheetView>
  </sheetViews>
  <sheetFormatPr baseColWidth="10" defaultRowHeight="14.5" x14ac:dyDescent="0.35"/>
  <cols>
    <col min="1" max="1" width="9.90625" style="8" customWidth="1"/>
    <col min="2" max="2" width="1.81640625" style="8" bestFit="1" customWidth="1"/>
    <col min="3" max="3" width="17.54296875" style="8" bestFit="1" customWidth="1"/>
    <col min="4" max="4" width="1.81640625" style="8" bestFit="1" customWidth="1"/>
    <col min="5" max="5" width="21.81640625" style="8" bestFit="1" customWidth="1"/>
    <col min="6" max="16384" width="10.90625" style="8"/>
  </cols>
  <sheetData>
    <row r="1" spans="1:5" ht="16.5" x14ac:dyDescent="0.35">
      <c r="A1" s="97" t="s">
        <v>60</v>
      </c>
      <c r="B1" s="97"/>
      <c r="C1" s="97"/>
    </row>
    <row r="3" spans="1:5" x14ac:dyDescent="0.35">
      <c r="A3" s="13" t="s">
        <v>54</v>
      </c>
      <c r="B3" s="14" t="s">
        <v>55</v>
      </c>
      <c r="C3" s="12" t="s">
        <v>56</v>
      </c>
      <c r="D3" s="11" t="s">
        <v>57</v>
      </c>
      <c r="E3" s="12" t="s">
        <v>59</v>
      </c>
    </row>
    <row r="4" spans="1:5" x14ac:dyDescent="0.35">
      <c r="A4" s="15" t="s">
        <v>9</v>
      </c>
      <c r="B4" s="15"/>
      <c r="C4" s="15" t="s">
        <v>9</v>
      </c>
      <c r="D4" s="15"/>
      <c r="E4" s="15" t="s">
        <v>9</v>
      </c>
    </row>
    <row r="5" spans="1:5" x14ac:dyDescent="0.35">
      <c r="A5" s="13" t="s">
        <v>63</v>
      </c>
      <c r="B5" s="14" t="s">
        <v>55</v>
      </c>
      <c r="C5" s="12" t="s">
        <v>61</v>
      </c>
      <c r="D5" s="11" t="s">
        <v>57</v>
      </c>
      <c r="E5" s="12" t="s">
        <v>62</v>
      </c>
    </row>
    <row r="10" spans="1:5" ht="24.5" customHeight="1" x14ac:dyDescent="0.35">
      <c r="A10" s="98" t="s">
        <v>64</v>
      </c>
      <c r="B10" s="98"/>
      <c r="C10" s="98"/>
      <c r="D10" s="98"/>
      <c r="E10" s="98"/>
    </row>
    <row r="11" spans="1:5" ht="24.5" customHeight="1" x14ac:dyDescent="0.35">
      <c r="A11" s="99" t="s">
        <v>67</v>
      </c>
      <c r="B11" s="99"/>
      <c r="C11" s="99"/>
      <c r="D11" s="99"/>
      <c r="E11" s="99"/>
    </row>
    <row r="12" spans="1:5" ht="24.5" customHeight="1" x14ac:dyDescent="0.35">
      <c r="A12" s="100" t="s">
        <v>65</v>
      </c>
      <c r="B12" s="100"/>
      <c r="C12" s="100"/>
      <c r="D12" s="100"/>
      <c r="E12" s="100"/>
    </row>
    <row r="13" spans="1:5" ht="24.5" customHeight="1" x14ac:dyDescent="0.35">
      <c r="A13" s="101" t="s">
        <v>66</v>
      </c>
      <c r="B13" s="101"/>
      <c r="C13" s="101"/>
      <c r="D13" s="101"/>
      <c r="E13" s="101"/>
    </row>
  </sheetData>
  <mergeCells count="5">
    <mergeCell ref="A1:C1"/>
    <mergeCell ref="A10:E10"/>
    <mergeCell ref="A11:E11"/>
    <mergeCell ref="A12:E12"/>
    <mergeCell ref="A13:E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E648-846E-45A3-A2C3-52A86DA372A1}">
  <dimension ref="A1:H31"/>
  <sheetViews>
    <sheetView topLeftCell="A12" workbookViewId="0">
      <selection activeCell="H28" sqref="H28"/>
    </sheetView>
  </sheetViews>
  <sheetFormatPr baseColWidth="10" defaultRowHeight="14" x14ac:dyDescent="0.3"/>
  <cols>
    <col min="1" max="1" width="10.36328125" style="9" bestFit="1" customWidth="1"/>
    <col min="2" max="2" width="12.36328125" style="9" bestFit="1" customWidth="1"/>
    <col min="3" max="3" width="17.90625" style="9" bestFit="1" customWidth="1"/>
    <col min="4" max="4" width="20.36328125" style="9" bestFit="1" customWidth="1"/>
    <col min="5" max="6" width="5.81640625" style="9" bestFit="1" customWidth="1"/>
    <col min="7" max="7" width="8.54296875" style="9" bestFit="1" customWidth="1"/>
    <col min="8" max="8" width="8.90625" style="9" bestFit="1" customWidth="1"/>
    <col min="9" max="16384" width="10.90625" style="9"/>
  </cols>
  <sheetData>
    <row r="1" spans="1:8" x14ac:dyDescent="0.3">
      <c r="A1" s="16" t="s">
        <v>68</v>
      </c>
      <c r="B1" s="17" t="s">
        <v>69</v>
      </c>
      <c r="C1" s="18" t="s">
        <v>70</v>
      </c>
      <c r="D1" s="17" t="s">
        <v>71</v>
      </c>
    </row>
    <row r="2" spans="1:8" ht="14.5" thickBot="1" x14ac:dyDescent="0.35">
      <c r="A2" s="19">
        <v>2023</v>
      </c>
      <c r="B2" s="20">
        <v>10000</v>
      </c>
      <c r="C2" s="21">
        <v>820</v>
      </c>
      <c r="D2" s="20">
        <v>1640000</v>
      </c>
    </row>
    <row r="3" spans="1:8" x14ac:dyDescent="0.3">
      <c r="A3" s="19">
        <v>2024</v>
      </c>
      <c r="B3" s="20">
        <v>10000</v>
      </c>
      <c r="C3" s="21">
        <v>900</v>
      </c>
      <c r="D3" s="20">
        <v>1980000</v>
      </c>
      <c r="F3" s="29"/>
      <c r="G3" s="35" t="s">
        <v>90</v>
      </c>
      <c r="H3" s="36" t="s">
        <v>58</v>
      </c>
    </row>
    <row r="4" spans="1:8" x14ac:dyDescent="0.3">
      <c r="A4" s="19">
        <v>2025</v>
      </c>
      <c r="B4" s="20">
        <v>10000</v>
      </c>
      <c r="C4" s="21">
        <v>950</v>
      </c>
      <c r="D4" s="20">
        <v>2185000</v>
      </c>
      <c r="F4" s="33" t="s">
        <v>88</v>
      </c>
      <c r="G4" s="30">
        <f>AVERAGE(C2:C4)</f>
        <v>890</v>
      </c>
      <c r="H4" s="31">
        <f>AVERAGE(D2:D4)</f>
        <v>1935000</v>
      </c>
    </row>
    <row r="5" spans="1:8" ht="14.5" thickBot="1" x14ac:dyDescent="0.35">
      <c r="F5" s="34" t="s">
        <v>89</v>
      </c>
      <c r="G5" s="37">
        <f>_xlfn.STDEV.S(C2:C4)</f>
        <v>65.574385243020004</v>
      </c>
      <c r="H5" s="32">
        <f>_xlfn.STDEV.S(D2:D4)</f>
        <v>275272.59217001608</v>
      </c>
    </row>
    <row r="6" spans="1:8" x14ac:dyDescent="0.3">
      <c r="A6" s="103" t="s">
        <v>72</v>
      </c>
      <c r="B6" s="103"/>
      <c r="C6" s="103"/>
    </row>
    <row r="8" spans="1:8" x14ac:dyDescent="0.3">
      <c r="C8" s="24" t="s">
        <v>73</v>
      </c>
      <c r="D8" s="10">
        <f>C2+C3+C4</f>
        <v>2670</v>
      </c>
    </row>
    <row r="9" spans="1:8" x14ac:dyDescent="0.3">
      <c r="B9" s="9" t="s">
        <v>81</v>
      </c>
      <c r="C9" s="25" t="s">
        <v>83</v>
      </c>
      <c r="D9" s="23" t="s">
        <v>82</v>
      </c>
      <c r="E9" s="9">
        <f>D8/D10</f>
        <v>8.8999999999999996E-2</v>
      </c>
    </row>
    <row r="10" spans="1:8" x14ac:dyDescent="0.3">
      <c r="C10" s="24" t="s">
        <v>74</v>
      </c>
      <c r="D10" s="26">
        <f>B2+B3+B4</f>
        <v>30000</v>
      </c>
    </row>
    <row r="12" spans="1:8" x14ac:dyDescent="0.3">
      <c r="A12" s="22" t="s">
        <v>75</v>
      </c>
      <c r="B12" s="104" t="s">
        <v>76</v>
      </c>
      <c r="C12" s="104"/>
      <c r="D12" s="104"/>
      <c r="E12" s="104"/>
    </row>
    <row r="14" spans="1:8" x14ac:dyDescent="0.3">
      <c r="A14" s="9" t="s">
        <v>77</v>
      </c>
      <c r="B14" s="61" t="s">
        <v>78</v>
      </c>
      <c r="C14" s="61"/>
      <c r="D14" s="61"/>
      <c r="E14" s="61"/>
    </row>
    <row r="16" spans="1:8" x14ac:dyDescent="0.3">
      <c r="A16" s="103" t="s">
        <v>79</v>
      </c>
      <c r="B16" s="103"/>
      <c r="C16" s="103"/>
    </row>
    <row r="18" spans="1:5" x14ac:dyDescent="0.3">
      <c r="C18" s="24" t="s">
        <v>84</v>
      </c>
      <c r="D18" s="24">
        <f>D2+D3+D4</f>
        <v>5805000</v>
      </c>
    </row>
    <row r="19" spans="1:5" ht="14.5" x14ac:dyDescent="0.35">
      <c r="B19" t="s">
        <v>80</v>
      </c>
      <c r="C19" s="25" t="s">
        <v>83</v>
      </c>
      <c r="D19" s="27" t="s">
        <v>83</v>
      </c>
      <c r="E19" s="9">
        <f>D18/D20</f>
        <v>2174.1573033707864</v>
      </c>
    </row>
    <row r="20" spans="1:5" x14ac:dyDescent="0.3">
      <c r="C20" s="24" t="s">
        <v>85</v>
      </c>
      <c r="D20" s="24">
        <f>C2+C3+C4</f>
        <v>2670</v>
      </c>
    </row>
    <row r="22" spans="1:5" x14ac:dyDescent="0.3">
      <c r="A22" s="22" t="s">
        <v>75</v>
      </c>
      <c r="B22" s="104" t="s">
        <v>86</v>
      </c>
      <c r="C22" s="104"/>
      <c r="D22" s="104"/>
      <c r="E22" s="104"/>
    </row>
    <row r="24" spans="1:5" x14ac:dyDescent="0.3">
      <c r="A24" s="103" t="s">
        <v>38</v>
      </c>
      <c r="B24" s="103"/>
      <c r="C24" s="103"/>
    </row>
    <row r="28" spans="1:5" ht="14.5" customHeight="1" x14ac:dyDescent="0.3">
      <c r="A28" s="102" t="s">
        <v>87</v>
      </c>
      <c r="B28" s="102"/>
      <c r="C28" s="28">
        <f>E19*E9</f>
        <v>193.49999999999997</v>
      </c>
    </row>
    <row r="31" spans="1:5" x14ac:dyDescent="0.3">
      <c r="A31" s="102" t="s">
        <v>91</v>
      </c>
      <c r="B31" s="102"/>
      <c r="C31" s="38">
        <f>C28*B2</f>
        <v>1934999.9999999998</v>
      </c>
    </row>
  </sheetData>
  <mergeCells count="8">
    <mergeCell ref="A28:B28"/>
    <mergeCell ref="A31:B31"/>
    <mergeCell ref="A6:C6"/>
    <mergeCell ref="B12:E12"/>
    <mergeCell ref="B14:E14"/>
    <mergeCell ref="A16:C16"/>
    <mergeCell ref="B22:E22"/>
    <mergeCell ref="A24:C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15CB-BAA2-403E-94F8-814823FE00D4}">
  <dimension ref="A1:O39"/>
  <sheetViews>
    <sheetView topLeftCell="B1" zoomScale="120" zoomScaleNormal="120" workbookViewId="0">
      <selection activeCell="E4" sqref="E4"/>
    </sheetView>
  </sheetViews>
  <sheetFormatPr baseColWidth="10" defaultRowHeight="14" x14ac:dyDescent="0.3"/>
  <cols>
    <col min="1" max="1" width="8.453125" style="9" customWidth="1"/>
    <col min="2" max="2" width="4.1796875" style="9" bestFit="1" customWidth="1"/>
    <col min="3" max="3" width="9.453125" style="9" bestFit="1" customWidth="1"/>
    <col min="4" max="4" width="7.1796875" style="9" bestFit="1" customWidth="1"/>
    <col min="5" max="5" width="11.453125" style="9" customWidth="1"/>
    <col min="6" max="6" width="10" style="9" customWidth="1"/>
    <col min="7" max="16384" width="10.90625" style="9"/>
  </cols>
  <sheetData>
    <row r="1" spans="1:15" ht="14.5" thickBot="1" x14ac:dyDescent="0.35"/>
    <row r="2" spans="1:15" ht="28" x14ac:dyDescent="0.3">
      <c r="A2" s="39" t="s">
        <v>92</v>
      </c>
      <c r="B2" s="40" t="s">
        <v>93</v>
      </c>
      <c r="C2" s="40" t="s">
        <v>94</v>
      </c>
      <c r="D2" s="41" t="s">
        <v>95</v>
      </c>
      <c r="E2" s="40" t="s">
        <v>96</v>
      </c>
      <c r="F2" s="42" t="s">
        <v>97</v>
      </c>
      <c r="H2" s="62" t="s">
        <v>109</v>
      </c>
      <c r="I2" s="62"/>
      <c r="K2" s="50" t="s">
        <v>112</v>
      </c>
      <c r="N2" s="63" t="s">
        <v>113</v>
      </c>
      <c r="O2" s="63"/>
    </row>
    <row r="3" spans="1:15" x14ac:dyDescent="0.3">
      <c r="A3" s="43">
        <v>1</v>
      </c>
      <c r="B3" s="44">
        <v>25</v>
      </c>
      <c r="C3" s="44" t="s">
        <v>98</v>
      </c>
      <c r="D3" s="44" t="s">
        <v>99</v>
      </c>
      <c r="E3" s="44">
        <v>1</v>
      </c>
      <c r="F3" s="45">
        <v>2</v>
      </c>
      <c r="H3" s="62"/>
      <c r="I3" s="62"/>
      <c r="N3" s="63"/>
      <c r="O3" s="63"/>
    </row>
    <row r="4" spans="1:15" x14ac:dyDescent="0.3">
      <c r="A4" s="43">
        <v>2</v>
      </c>
      <c r="B4" s="44">
        <v>45</v>
      </c>
      <c r="C4" s="44" t="s">
        <v>100</v>
      </c>
      <c r="D4" s="44" t="s">
        <v>101</v>
      </c>
      <c r="E4" s="44">
        <v>1</v>
      </c>
      <c r="F4" s="45">
        <v>0</v>
      </c>
      <c r="H4" s="62"/>
      <c r="I4" s="62"/>
      <c r="N4" s="63"/>
      <c r="O4" s="63"/>
    </row>
    <row r="5" spans="1:15" x14ac:dyDescent="0.3">
      <c r="A5" s="43">
        <v>3</v>
      </c>
      <c r="B5" s="44">
        <v>32</v>
      </c>
      <c r="C5" s="44" t="s">
        <v>102</v>
      </c>
      <c r="D5" s="44" t="s">
        <v>99</v>
      </c>
      <c r="E5" s="44">
        <v>0.5</v>
      </c>
      <c r="F5" s="45">
        <v>1</v>
      </c>
      <c r="H5" s="62"/>
      <c r="I5" s="62"/>
      <c r="N5" s="63"/>
      <c r="O5" s="63"/>
    </row>
    <row r="6" spans="1:15" x14ac:dyDescent="0.3">
      <c r="A6" s="43">
        <v>4</v>
      </c>
      <c r="B6" s="44">
        <v>55</v>
      </c>
      <c r="C6" s="44" t="s">
        <v>103</v>
      </c>
      <c r="D6" s="44" t="s">
        <v>101</v>
      </c>
      <c r="E6" s="44">
        <v>1</v>
      </c>
      <c r="F6" s="45">
        <v>0</v>
      </c>
      <c r="H6" s="62"/>
      <c r="I6" s="62"/>
    </row>
    <row r="7" spans="1:15" ht="14.5" thickBot="1" x14ac:dyDescent="0.35">
      <c r="A7" s="46">
        <v>5</v>
      </c>
      <c r="B7" s="47">
        <v>28</v>
      </c>
      <c r="C7" s="47" t="s">
        <v>104</v>
      </c>
      <c r="D7" s="47" t="s">
        <v>99</v>
      </c>
      <c r="E7" s="47">
        <v>1</v>
      </c>
      <c r="F7" s="48">
        <v>3</v>
      </c>
      <c r="H7" s="62"/>
      <c r="I7" s="62"/>
    </row>
    <row r="8" spans="1:15" x14ac:dyDescent="0.3">
      <c r="A8" s="65" t="s">
        <v>115</v>
      </c>
      <c r="B8" s="65"/>
      <c r="C8" s="65"/>
    </row>
    <row r="9" spans="1:15" x14ac:dyDescent="0.3">
      <c r="A9" s="66" t="s">
        <v>105</v>
      </c>
      <c r="B9" s="66"/>
      <c r="C9" s="66"/>
      <c r="D9" s="67" t="s">
        <v>106</v>
      </c>
      <c r="E9" s="67"/>
      <c r="F9" s="67"/>
      <c r="G9" s="67"/>
    </row>
    <row r="11" spans="1:15" x14ac:dyDescent="0.3">
      <c r="A11" s="67" t="s">
        <v>107</v>
      </c>
      <c r="B11" s="67"/>
      <c r="C11" s="67"/>
      <c r="D11" s="68" t="s">
        <v>111</v>
      </c>
      <c r="E11" s="68"/>
      <c r="F11" s="68"/>
      <c r="G11" s="68"/>
    </row>
    <row r="13" spans="1:15" x14ac:dyDescent="0.3">
      <c r="A13" s="66" t="s">
        <v>108</v>
      </c>
      <c r="B13" s="66"/>
      <c r="C13" s="66"/>
    </row>
    <row r="15" spans="1:15" x14ac:dyDescent="0.3">
      <c r="A15" s="49" t="s">
        <v>110</v>
      </c>
      <c r="B15" s="49"/>
      <c r="C15" s="49"/>
      <c r="D15" s="49"/>
    </row>
    <row r="18" spans="1:4" x14ac:dyDescent="0.3">
      <c r="A18" s="49" t="s">
        <v>119</v>
      </c>
    </row>
    <row r="23" spans="1:4" x14ac:dyDescent="0.3">
      <c r="A23" s="64" t="s">
        <v>114</v>
      </c>
      <c r="B23" s="64"/>
      <c r="C23" s="64"/>
      <c r="D23" s="64"/>
    </row>
    <row r="29" spans="1:4" ht="14.5" thickBot="1" x14ac:dyDescent="0.35"/>
    <row r="30" spans="1:4" x14ac:dyDescent="0.3">
      <c r="A30" s="65" t="s">
        <v>116</v>
      </c>
      <c r="B30" s="65"/>
      <c r="C30" s="65"/>
    </row>
    <row r="32" spans="1:4" x14ac:dyDescent="0.3">
      <c r="D32" s="49" t="s">
        <v>117</v>
      </c>
    </row>
    <row r="39" spans="1:7" ht="14.5" customHeight="1" x14ac:dyDescent="0.3">
      <c r="A39" s="61" t="s">
        <v>118</v>
      </c>
      <c r="B39" s="61"/>
      <c r="C39" s="61"/>
      <c r="D39" s="61"/>
      <c r="E39" s="61"/>
      <c r="F39" s="61"/>
      <c r="G39" s="61"/>
    </row>
  </sheetData>
  <mergeCells count="11">
    <mergeCell ref="A39:G39"/>
    <mergeCell ref="H2:I7"/>
    <mergeCell ref="N2:O5"/>
    <mergeCell ref="A23:D23"/>
    <mergeCell ref="A8:C8"/>
    <mergeCell ref="A30:C30"/>
    <mergeCell ref="A9:C9"/>
    <mergeCell ref="D9:G9"/>
    <mergeCell ref="D11:G11"/>
    <mergeCell ref="A11:C11"/>
    <mergeCell ref="A13:C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Tarification</vt:lpstr>
      <vt:lpstr>Rappel_lois</vt:lpstr>
      <vt:lpstr>Seuil_Grave</vt:lpstr>
      <vt:lpstr>Modèle_frequece-coût</vt:lpstr>
      <vt:lpstr>Exemple_MFC</vt:lpstr>
      <vt:lpstr>Exemple_GLM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lazher hedfi</dc:creator>
  <cp:lastModifiedBy>lazher hedfi</cp:lastModifiedBy>
  <dcterms:created xsi:type="dcterms:W3CDTF">2026-09-12T20:14:14Z</dcterms:created>
  <dcterms:modified xsi:type="dcterms:W3CDTF">2026-09-19T13:09:12Z</dcterms:modified>
</cp:coreProperties>
</file>